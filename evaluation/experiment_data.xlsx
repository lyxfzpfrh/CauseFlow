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ianc\WorkBuddy\2026-09-18-21-20-40\causeflow-artifact\evaluation\"/>
    </mc:Choice>
  </mc:AlternateContent>
  <bookViews>
    <workbookView windowWidth="12822" windowHeight="9642"/>
  </bookViews>
  <sheets>
    <sheet name="RQ1_raw" sheetId="2" r:id="rId1"/>
    <sheet name="RQ2_static" sheetId="4" r:id="rId2"/>
    <sheet name="RQ3_raw" sheetId="3" r:id="rId3"/>
    <sheet name="RQ4_static" sheetId="5" r:id="rId4"/>
    <sheet name="F1_raw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<sst xmlns="http://schemas.openxmlformats.org/spreadsheetml/2006/main" count="295" uniqueCount="102">
  <si>
    <t>RQ1: root-cause localization, N=235, five runs per method</t>
  </si>
  <si>
    <t>Method</t>
  </si>
  <si>
    <t>top1 run1</t>
  </si>
  <si>
    <t>run2</t>
  </si>
  <si>
    <t>run3</t>
  </si>
  <si>
    <t>run4</t>
  </si>
  <si>
    <t>run5</t>
  </si>
  <si>
    <t>mean k</t>
  </si>
  <si>
    <t>Top-1 mean %</t>
  </si>
  <si>
    <t>Top-1 std (pp)</t>
  </si>
  <si>
    <t>top3 run1</t>
  </si>
  <si>
    <t>Top-3 mean %</t>
  </si>
  <si>
    <t>Top-3 std (pp)</t>
  </si>
  <si>
    <t>F1 run1</t>
  </si>
  <si>
    <t>F1 mean</t>
  </si>
  <si>
    <t>F1 std</t>
  </si>
  <si>
    <t>B3: Random / Majority</t>
  </si>
  <si>
    <t>B2: DeepSeek-V4 (direct reading)</t>
  </si>
  <si>
    <t>B1: GPT-4o (direct reading)</t>
  </si>
  <si>
    <t>CauseFlow (full)</t>
  </si>
  <si>
    <t>Gaps (pp):</t>
  </si>
  <si>
    <t>&lt;- CauseFlow - B2 (top-1, pp)</t>
  </si>
  <si>
    <t>&lt;- CauseFlow - B1 (top-1, pp)</t>
  </si>
  <si>
    <t>RQ2: repair on 70 failed ITBench trajectories</t>
  </si>
  <si>
    <t>repaired k</t>
  </si>
  <si>
    <t>N</t>
  </si>
  <si>
    <t>repair %</t>
  </si>
  <si>
    <t>intent k</t>
  </si>
  <si>
    <t>intent %</t>
  </si>
  <si>
    <t>avg edited tokens</t>
  </si>
  <si>
    <t>cost USD/traj</t>
  </si>
  <si>
    <t>No repair (identity re-run)</t>
  </si>
  <si>
    <t>-</t>
  </si>
  <si>
    <t>--</t>
  </si>
  <si>
    <t>B2: DeepSeek-V4 (direct)</t>
  </si>
  <si>
    <t>B1: GPT-4o (direct)</t>
  </si>
  <si>
    <t>Ratios / gaps:</t>
  </si>
  <si>
    <t>success ratio CF/B1</t>
  </si>
  <si>
    <t>edit-size ratio B1/CF</t>
  </si>
  <si>
    <t>repair gap vs B1 (pp)</t>
  </si>
  <si>
    <t>repair gap vs B2 (pp)</t>
  </si>
  <si>
    <t>Wilson 95% CI for CF 20/70:</t>
  </si>
  <si>
    <t>lower bound (%)</t>
  </si>
  <si>
    <t>upper bound (%)</t>
  </si>
  <si>
    <t>Wilson 95% CI for B1 7/70:</t>
  </si>
  <si>
    <t>paired McNemar exact p = 0.000977</t>
  </si>
  <si>
    <t>repair rate vs no-repair (pp):</t>
  </si>
  <si>
    <t>RQ3: component ablation, N=150, five runs per variant</t>
  </si>
  <si>
    <t>Variant</t>
  </si>
  <si>
    <t>drop vs full (pp)</t>
  </si>
  <si>
    <t>w/o Compression</t>
  </si>
  <si>
    <t>w/o SF (HS + KI only)</t>
  </si>
  <si>
    <t>w/o HS (SF + KI only)</t>
  </si>
  <si>
    <t>w/o KI (SF + HS only)</t>
  </si>
  <si>
    <t>w/o LLM reasoning (rule-based)</t>
  </si>
  <si>
    <t>w/o Attribution paths (same reasoner)</t>
  </si>
  <si>
    <t>RQ4: stratified Top-1 on the 235 trajectories (median run)</t>
  </si>
  <si>
    <t>Dimension</t>
  </si>
  <si>
    <t>Stratum</t>
  </si>
  <si>
    <t>top1 k</t>
  </si>
  <si>
    <t>top3 k</t>
  </si>
  <si>
    <t>Top-1 %</t>
  </si>
  <si>
    <t>categories</t>
  </si>
  <si>
    <t>software engineering</t>
  </si>
  <si>
    <t>system administration</t>
  </si>
  <si>
    <t>scientific computing</t>
  </si>
  <si>
    <t>model training</t>
  </si>
  <si>
    <t>security</t>
  </si>
  <si>
    <t>data science</t>
  </si>
  <si>
    <t>others (pooled)</t>
  </si>
  <si>
    <t>backbones</t>
  </si>
  <si>
    <t>GPT-5</t>
  </si>
  <si>
    <t>Claude-Sonnet-4</t>
  </si>
  <si>
    <t>DeepSeek-V4</t>
  </si>
  <si>
    <t>lengths</t>
  </si>
  <si>
    <t>short (&lt;=30)</t>
  </si>
  <si>
    <t>medium (31-80)</t>
  </si>
  <si>
    <t>long (&gt;80)</t>
  </si>
  <si>
    <t>All</t>
  </si>
  <si>
    <t>total (sum of categories)</t>
  </si>
  <si>
    <t>backbone spread DS - Claude (pp)</t>
  </si>
  <si>
    <t>min backbone gap vs strongest baseline (pp)</t>
  </si>
  <si>
    <t/>
  </si>
  <si>
    <t>B1 short stratum</t>
  </si>
  <si>
    <t>B1 long stratum</t>
  </si>
  <si>
    <t>long-trajectory gap CF - B1 (pp)</t>
  </si>
  <si>
    <t>overall gap CF - B1 (pp)</t>
  </si>
  <si>
    <t>B1 relative decay short-&gt;long</t>
  </si>
  <si>
    <t>CF relative decay short-&gt;long</t>
  </si>
  <si>
    <t>F1 derivation: RQ1 set-level over 56 distinct incorrect steps (P = TP/pred, R = TP/56, F1 = 2*TP/(pred+56)); RQ3 subset records (F1 = 2*TP/(pred+N))</t>
  </si>
  <si>
    <t>Section</t>
  </si>
  <si>
    <t>run</t>
  </si>
  <si>
    <t>TP</t>
  </si>
  <si>
    <t>pred</t>
  </si>
  <si>
    <t>P</t>
  </si>
  <si>
    <t>R</t>
  </si>
  <si>
    <t>F1</t>
  </si>
  <si>
    <t>RQ1</t>
  </si>
  <si>
    <t>RQ3</t>
  </si>
  <si>
    <t>Summary (mean over the five runs; F1 std sample n-1)</t>
  </si>
  <si>
    <t>P mean</t>
  </si>
  <si>
    <t>R 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</si>
</sst>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4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76" fontId="0" fillId="0" borderId="1" xfId="0" applyNumberFormat="1" applyBorder="1"/>
    <xf numFmtId="0" fontId="3" fillId="0" borderId="0" xfId="0" applyFont="1"/>
    <xf numFmtId="2" fontId="0" fillId="0" borderId="1" xfId="0" applyNumberFormat="1" applyBorder="1"/>
    <xf numFmtId="2" fontId="0" fillId="0" borderId="0" xfId="0" applyNumberFormat="1"/>
    <xf numFmtId="176" fontId="0" fillId="0" borderId="0" xfId="0" applyNumberFormat="1"/>
    <xf numFmtId="0" fontId="3" fillId="3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9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E20" sqref="E20"/>
    </sheetView>
  </sheetViews>
  <sheetFormatPr defaultColWidth="9" defaultRowHeight="14.1"/>
  <cols>
    <col min="1" max="1" width="30" customWidth="1"/>
    <col min="2" max="23" width="7" customWidth="1"/>
    <col min="24" max="24" width="10" customWidth="1"/>
  </cols>
  <sheetData>
    <row r="1" ht="15" spans="1:24">
      <c r="A1" s="1" t="s">
        <v>0</v>
      </c>
    </row>
    <row r="3" ht="42.45" spans="1:2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3</v>
      </c>
      <c r="L3" s="2" t="s">
        <v>4</v>
      </c>
      <c r="M3" s="2" t="s">
        <v>5</v>
      </c>
      <c r="N3" s="2" t="s">
        <v>6</v>
      </c>
      <c r="O3" s="2" t="s">
        <v>7</v>
      </c>
      <c r="P3" s="2" t="s">
        <v>11</v>
      </c>
      <c r="Q3" s="2" t="s">
        <v>12</v>
      </c>
      <c r="R3" s="2" t="s">
        <v>13</v>
      </c>
      <c r="S3" s="2" t="s">
        <v>3</v>
      </c>
      <c r="T3" s="2" t="s">
        <v>4</v>
      </c>
      <c r="U3" s="2" t="s">
        <v>5</v>
      </c>
      <c r="V3" s="2" t="s">
        <v>6</v>
      </c>
      <c r="W3" s="2" t="s">
        <v>14</v>
      </c>
      <c r="X3" s="2" t="s">
        <v>15</v>
      </c>
    </row>
    <row r="4" spans="1:24">
      <c r="A4" s="3" t="s">
        <v>16</v>
      </c>
      <c r="B4" s="3">
        <v>9</v>
      </c>
      <c r="C4" s="3">
        <v>10</v>
      </c>
      <c r="D4" s="3">
        <v>9</v>
      </c>
      <c r="E4" s="3">
        <v>10</v>
      </c>
      <c r="F4" s="3">
        <v>7</v>
      </c>
      <c r="G4" s="3">
        <f>AVERAGE(B4:F4)</f>
        <v>9</v>
      </c>
      <c r="H4" s="6">
        <f>G4/235*100</f>
        <v>3.82978723404255</v>
      </c>
      <c r="I4" s="6">
        <f>STDEV(B4:F4)*100/235</f>
        <v>0.5211680303794</v>
      </c>
      <c r="J4" s="3">
        <v>45</v>
      </c>
      <c r="K4" s="3">
        <v>47</v>
      </c>
      <c r="L4" s="3">
        <v>44</v>
      </c>
      <c r="M4" s="3">
        <v>48</v>
      </c>
      <c r="N4" s="3">
        <v>47</v>
      </c>
      <c r="O4" s="3">
        <f>AVERAGE(J4:N4)</f>
        <v>46.2</v>
      </c>
      <c r="P4" s="6">
        <f>O4/235*100</f>
        <v>19.6595744680851</v>
      </c>
      <c r="Q4" s="6">
        <f>STDEV(K4:O4)*100/235</f>
        <v>0.640845977770781</v>
      </c>
      <c r="R4" s="3">
        <f>F1_raw!H4</f>
        <v>0.09</v>
      </c>
      <c r="S4" s="3">
        <f>F1_raw!H5</f>
        <v>0.09</v>
      </c>
      <c r="T4" s="3">
        <f>F1_raw!H6</f>
        <v>0.09</v>
      </c>
      <c r="U4" s="3">
        <f>F1_raw!H7</f>
        <v>0.08</v>
      </c>
      <c r="V4" s="3">
        <f>F1_raw!H8</f>
        <v>0.1</v>
      </c>
      <c r="W4" s="4">
        <f>AVERAGE(R4:V4)</f>
        <v>0.09</v>
      </c>
      <c r="X4" s="4">
        <f>STDEV(R4:V4)</f>
        <v>0.00707106781186548</v>
      </c>
    </row>
    <row r="5" spans="1:24">
      <c r="A5" s="3" t="s">
        <v>17</v>
      </c>
      <c r="B5" s="3">
        <v>82</v>
      </c>
      <c r="C5" s="3">
        <v>81</v>
      </c>
      <c r="D5" s="3">
        <v>81</v>
      </c>
      <c r="E5" s="3">
        <v>80</v>
      </c>
      <c r="F5" s="3">
        <v>81</v>
      </c>
      <c r="G5" s="3">
        <f>AVERAGE(B5:F5)</f>
        <v>81</v>
      </c>
      <c r="H5" s="6">
        <f>G5/235*100</f>
        <v>34.468085106383</v>
      </c>
      <c r="I5" s="6">
        <f>STDEV(B5:F5)*100/235</f>
        <v>0.300896502632573</v>
      </c>
      <c r="J5" s="3">
        <v>139</v>
      </c>
      <c r="K5" s="3">
        <v>138</v>
      </c>
      <c r="L5" s="3">
        <v>137</v>
      </c>
      <c r="M5" s="3">
        <v>138</v>
      </c>
      <c r="N5" s="3">
        <v>138</v>
      </c>
      <c r="O5" s="3">
        <f>AVERAGE(J5:N5)</f>
        <v>138</v>
      </c>
      <c r="P5" s="6">
        <f>O5/235*100</f>
        <v>58.7234042553191</v>
      </c>
      <c r="Q5" s="6">
        <f>STDEV(K5:O5)*100/235</f>
        <v>0.190303657659557</v>
      </c>
      <c r="R5" s="3">
        <f>F1_raw!H9</f>
        <v>0.222222222222222</v>
      </c>
      <c r="S5" s="3">
        <f>F1_raw!H10</f>
        <v>0.221105527638191</v>
      </c>
      <c r="T5" s="3">
        <f>F1_raw!H11</f>
        <v>0.221105527638191</v>
      </c>
      <c r="U5" s="3">
        <f>F1_raw!H12</f>
        <v>0.212121212121212</v>
      </c>
      <c r="V5" s="3">
        <f>F1_raw!H13</f>
        <v>0.221105527638191</v>
      </c>
      <c r="W5" s="4">
        <f>AVERAGE(R5:V5)</f>
        <v>0.219532003451601</v>
      </c>
      <c r="X5" s="4">
        <f>STDEV(R5:V5)</f>
        <v>0.00417088240884709</v>
      </c>
    </row>
    <row r="6" spans="1:24">
      <c r="A6" s="3" t="s">
        <v>18</v>
      </c>
      <c r="B6" s="3">
        <v>69</v>
      </c>
      <c r="C6" s="3">
        <v>67</v>
      </c>
      <c r="D6" s="3">
        <v>66</v>
      </c>
      <c r="E6" s="3">
        <v>67</v>
      </c>
      <c r="F6" s="3">
        <v>66</v>
      </c>
      <c r="G6" s="3">
        <f>AVERAGE(B6:F6)</f>
        <v>67</v>
      </c>
      <c r="H6" s="6">
        <f>G6/235*100</f>
        <v>28.5106382978723</v>
      </c>
      <c r="I6" s="6">
        <f>STDEV(B6:F6)*100/235</f>
        <v>0.5211680303794</v>
      </c>
      <c r="J6" s="3">
        <v>119</v>
      </c>
      <c r="K6" s="3">
        <v>118</v>
      </c>
      <c r="L6" s="3">
        <v>117</v>
      </c>
      <c r="M6" s="3">
        <v>118</v>
      </c>
      <c r="N6" s="3">
        <v>118</v>
      </c>
      <c r="O6" s="3">
        <f>AVERAGE(J6:N6)</f>
        <v>118</v>
      </c>
      <c r="P6" s="6">
        <f>O6/235*100</f>
        <v>50.2127659574468</v>
      </c>
      <c r="Q6" s="6">
        <f>STDEV(K6:O6)*100/235</f>
        <v>0.190303657659557</v>
      </c>
      <c r="R6" s="3">
        <f>F1_raw!H14</f>
        <v>0.16</v>
      </c>
      <c r="S6" s="3">
        <f>F1_raw!H15</f>
        <v>0.16</v>
      </c>
      <c r="T6" s="3">
        <f>F1_raw!H16</f>
        <v>0.16</v>
      </c>
      <c r="U6" s="3">
        <f>F1_raw!H17</f>
        <v>0.15</v>
      </c>
      <c r="V6" s="3">
        <f>F1_raw!H18</f>
        <v>0.17</v>
      </c>
      <c r="W6" s="4">
        <f>AVERAGE(R6:V6)</f>
        <v>0.16</v>
      </c>
      <c r="X6" s="4">
        <f>STDEV(R6:V6)</f>
        <v>0.00707106781186548</v>
      </c>
    </row>
    <row r="7" spans="1:24">
      <c r="A7" s="3" t="s">
        <v>19</v>
      </c>
      <c r="B7" s="3">
        <v>145</v>
      </c>
      <c r="C7" s="3">
        <v>153</v>
      </c>
      <c r="D7" s="3">
        <v>150</v>
      </c>
      <c r="E7" s="3">
        <v>149</v>
      </c>
      <c r="F7" s="3">
        <v>149</v>
      </c>
      <c r="G7" s="3">
        <f>AVERAGE(B7:F7)</f>
        <v>149.2</v>
      </c>
      <c r="H7" s="6">
        <f>G7/235*100</f>
        <v>63.4893617021277</v>
      </c>
      <c r="I7" s="6">
        <f>STDEV(B7:F7)*100/235</f>
        <v>1.21853796283203</v>
      </c>
      <c r="J7" s="3">
        <v>215</v>
      </c>
      <c r="K7" s="3">
        <v>213</v>
      </c>
      <c r="L7" s="3">
        <v>209</v>
      </c>
      <c r="M7" s="3">
        <v>212</v>
      </c>
      <c r="N7" s="3">
        <v>211</v>
      </c>
      <c r="O7" s="3">
        <f>AVERAGE(J7:N7)</f>
        <v>212</v>
      </c>
      <c r="P7" s="6">
        <f>O7/235*100</f>
        <v>90.2127659574468</v>
      </c>
      <c r="Q7" s="6">
        <f>STDEV(K7:O7)*100/235</f>
        <v>0.645351101621409</v>
      </c>
      <c r="R7" s="3">
        <f>F1_raw!H19</f>
        <v>0.47</v>
      </c>
      <c r="S7" s="3">
        <f>F1_raw!H20</f>
        <v>0.47</v>
      </c>
      <c r="T7" s="3">
        <f>F1_raw!H21</f>
        <v>0.47</v>
      </c>
      <c r="U7" s="3">
        <f>F1_raw!H22</f>
        <v>0.46</v>
      </c>
      <c r="V7" s="3">
        <f>F1_raw!H23</f>
        <v>0.48</v>
      </c>
      <c r="W7" s="4">
        <f>AVERAGE(R7:V7)</f>
        <v>0.47</v>
      </c>
      <c r="X7" s="4">
        <f>STDEV(R7:V7)</f>
        <v>0.00707106781186546</v>
      </c>
    </row>
    <row r="9" spans="1:24">
      <c r="A9" t="s">
        <v>20</v>
      </c>
      <c r="B9">
        <f>ROUND(H7,2)-ROUND(H5,2)</f>
        <v>29.02</v>
      </c>
      <c r="C9" t="s">
        <v>21</v>
      </c>
      <c r="D9">
        <f>ROUND(H7,2)-ROUND(H6,2)</f>
        <v>34.98</v>
      </c>
      <c r="E9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"/>
    </sheetView>
  </sheetViews>
  <sheetFormatPr defaultColWidth="9" defaultRowHeight="14.1"/>
  <cols>
    <col min="1" max="1" width="28" customWidth="1"/>
    <col min="2" max="2" width="12" customWidth="1"/>
    <col min="3" max="3" width="6" customWidth="1"/>
    <col min="4" max="6" width="10" customWidth="1"/>
    <col min="7" max="7" width="15" customWidth="1"/>
    <col min="8" max="8" width="12" customWidth="1"/>
  </cols>
  <sheetData>
    <row r="1" ht="15" spans="1:9">
      <c r="A1" s="1" t="s">
        <v>23</v>
      </c>
    </row>
    <row r="3" ht="28.3" spans="1:9">
      <c r="A3" s="2" t="s">
        <v>1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</row>
    <row r="4" spans="1:9">
      <c r="A4" s="3" t="s">
        <v>31</v>
      </c>
      <c r="B4" s="3">
        <v>0</v>
      </c>
      <c r="C4" s="3">
        <v>70</v>
      </c>
      <c r="D4" s="6">
        <f>B4/C4*100</f>
        <v>0</v>
      </c>
      <c r="E4" s="3" t="s">
        <v>32</v>
      </c>
      <c r="F4" s="3" t="s">
        <v>32</v>
      </c>
      <c r="G4" s="3" t="s">
        <v>33</v>
      </c>
      <c r="H4" s="3" t="s">
        <v>33</v>
      </c>
    </row>
    <row r="5" spans="1:9">
      <c r="A5" s="3" t="s">
        <v>34</v>
      </c>
      <c r="B5" s="3">
        <v>4</v>
      </c>
      <c r="C5" s="3">
        <v>70</v>
      </c>
      <c r="D5" s="6">
        <f>B5/C5*100</f>
        <v>5.71428571428571</v>
      </c>
      <c r="E5" s="3">
        <v>54</v>
      </c>
      <c r="F5" s="6">
        <f>IF(E5="-","-",E5/C5*100)</f>
        <v>77.1428571428572</v>
      </c>
      <c r="G5" s="3">
        <v>176</v>
      </c>
      <c r="H5" s="3">
        <v>0.35</v>
      </c>
    </row>
    <row r="6" spans="1:9">
      <c r="A6" s="3" t="s">
        <v>35</v>
      </c>
      <c r="B6" s="3">
        <v>7</v>
      </c>
      <c r="C6" s="3">
        <v>70</v>
      </c>
      <c r="D6" s="6">
        <f>B6/C6*100</f>
        <v>10</v>
      </c>
      <c r="E6" s="3">
        <v>57</v>
      </c>
      <c r="F6" s="6">
        <f>IF(E6="-","-",E6/C6*100)</f>
        <v>81.4285714285714</v>
      </c>
      <c r="G6" s="3">
        <v>148</v>
      </c>
      <c r="H6" s="3">
        <v>2.31</v>
      </c>
    </row>
    <row r="7" spans="1:9">
      <c r="A7" s="3" t="s">
        <v>19</v>
      </c>
      <c r="B7" s="3">
        <v>20</v>
      </c>
      <c r="C7" s="3">
        <v>70</v>
      </c>
      <c r="D7" s="6">
        <f>B7/C7*100</f>
        <v>28.5714285714286</v>
      </c>
      <c r="E7" s="3">
        <v>67</v>
      </c>
      <c r="F7" s="6">
        <f>IF(E7="-","-",E7/C7*100)</f>
        <v>95.7142857142857</v>
      </c>
      <c r="G7" s="3">
        <v>42</v>
      </c>
      <c r="H7" s="3">
        <v>1.12</v>
      </c>
    </row>
    <row r="9" spans="1:9">
      <c r="A9" t="s">
        <v>36</v>
      </c>
      <c r="B9">
        <f>B7/B6</f>
        <v>2.85714285714286</v>
      </c>
      <c r="C9" t="s">
        <v>37</v>
      </c>
      <c r="D9">
        <f>G6/G7</f>
        <v>3.52380952380952</v>
      </c>
      <c r="E9" t="s">
        <v>38</v>
      </c>
      <c r="F9">
        <f>ROUND(D7,2)-ROUND(D6,2)</f>
        <v>18.57</v>
      </c>
      <c r="G9" t="s">
        <v>39</v>
      </c>
      <c r="H9">
        <f>ROUND(D7,2)-ROUND(D5,2)</f>
        <v>22.86</v>
      </c>
      <c r="I9" t="s">
        <v>40</v>
      </c>
    </row>
    <row r="10" spans="1:9">
      <c r="A10" t="s">
        <v>41</v>
      </c>
      <c r="B10">
        <v>19.32</v>
      </c>
      <c r="C10" t="s">
        <v>42</v>
      </c>
      <c r="D10">
        <v>40.05</v>
      </c>
      <c r="E10" t="s">
        <v>43</v>
      </c>
    </row>
    <row r="11" spans="1:9">
      <c r="A11" t="s">
        <v>44</v>
      </c>
      <c r="B11">
        <v>4.93</v>
      </c>
      <c r="C11" t="s">
        <v>42</v>
      </c>
      <c r="D11">
        <v>19.23</v>
      </c>
      <c r="E11" t="s">
        <v>43</v>
      </c>
      <c r="F11" t="s">
        <v>45</v>
      </c>
    </row>
    <row r="13" spans="1:9">
      <c r="A13" t="s">
        <v>46</v>
      </c>
      <c r="B13">
        <f>ROUND(D7,2)-ROUND(D4,2)</f>
        <v>28.57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workbookViewId="0">
      <selection activeCell="A1" sqref="A1"/>
    </sheetView>
  </sheetViews>
  <sheetFormatPr defaultColWidth="9" defaultRowHeight="14.1"/>
  <cols>
    <col min="1" max="1" width="30" customWidth="1"/>
    <col min="2" max="6" width="8" customWidth="1"/>
    <col min="7" max="7" width="9" customWidth="1"/>
    <col min="8" max="9" width="12" customWidth="1"/>
    <col min="10" max="14" width="7" customWidth="1"/>
    <col min="15" max="16" width="9" customWidth="1"/>
    <col min="17" max="17" width="14" customWidth="1"/>
  </cols>
  <sheetData>
    <row r="1" ht="15" spans="1:17">
      <c r="A1" s="1" t="s">
        <v>47</v>
      </c>
    </row>
    <row r="3" ht="28.3" spans="1:17">
      <c r="A3" s="2" t="s">
        <v>48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13</v>
      </c>
      <c r="K3" s="2" t="s">
        <v>3</v>
      </c>
      <c r="L3" s="2" t="s">
        <v>4</v>
      </c>
      <c r="M3" s="2" t="s">
        <v>5</v>
      </c>
      <c r="N3" s="2" t="s">
        <v>6</v>
      </c>
      <c r="O3" s="2" t="s">
        <v>14</v>
      </c>
      <c r="P3" s="2" t="s">
        <v>15</v>
      </c>
      <c r="Q3" s="2" t="s">
        <v>49</v>
      </c>
    </row>
    <row r="4" spans="1:17">
      <c r="A4" s="3" t="s">
        <v>50</v>
      </c>
      <c r="B4" s="3">
        <v>42</v>
      </c>
      <c r="C4" s="3">
        <v>47</v>
      </c>
      <c r="D4" s="3">
        <v>41</v>
      </c>
      <c r="E4" s="3">
        <v>54</v>
      </c>
      <c r="F4" s="3">
        <v>52</v>
      </c>
      <c r="G4" s="3">
        <f t="shared" ref="G4:G10" si="0">AVERAGE(B4:F4)</f>
        <v>47.2</v>
      </c>
      <c r="H4" s="6">
        <f t="shared" ref="H4:H10" si="1">G4/150*100</f>
        <v>31.4666666666667</v>
      </c>
      <c r="I4" s="6">
        <f t="shared" ref="I4:I10" si="2">STDEV(B4:F4)*100/150</f>
        <v>3.87011340632</v>
      </c>
      <c r="J4" s="3">
        <f>F1_raw!H24</f>
        <v>0.346666666666667</v>
      </c>
      <c r="K4" s="3">
        <f>F1_raw!H25</f>
        <v>0.35</v>
      </c>
      <c r="L4" s="3">
        <f>F1_raw!H26</f>
        <v>0.35</v>
      </c>
      <c r="M4" s="3">
        <f>F1_raw!H27</f>
        <v>0.35</v>
      </c>
      <c r="N4" s="3">
        <f>F1_raw!H28</f>
        <v>0.353333333333333</v>
      </c>
      <c r="O4" s="4">
        <f t="shared" ref="O4:O10" si="3">AVERAGE(J4:N4)</f>
        <v>0.35</v>
      </c>
      <c r="P4" s="4">
        <f t="shared" ref="P4:P10" si="4">STDEV(J4:N4)</f>
        <v>0.00235702260395515</v>
      </c>
      <c r="Q4" s="6">
        <f t="shared" ref="Q4:Q10" si="5">ROUND(H$10,2)-ROUND(H4,2)</f>
        <v>31.86</v>
      </c>
    </row>
    <row r="5" spans="1:17">
      <c r="A5" s="3" t="s">
        <v>51</v>
      </c>
      <c r="B5" s="3">
        <v>60</v>
      </c>
      <c r="C5" s="3">
        <v>53</v>
      </c>
      <c r="D5" s="3">
        <v>52</v>
      </c>
      <c r="E5" s="3">
        <v>56</v>
      </c>
      <c r="F5" s="3">
        <v>54</v>
      </c>
      <c r="G5" s="3">
        <f t="shared" si="0"/>
        <v>55</v>
      </c>
      <c r="H5" s="6">
        <f t="shared" si="1"/>
        <v>36.6666666666667</v>
      </c>
      <c r="I5" s="6">
        <f t="shared" si="2"/>
        <v>2.10818510677892</v>
      </c>
      <c r="J5" s="3">
        <f>F1_raw!H29</f>
        <v>0.406666666666667</v>
      </c>
      <c r="K5" s="3">
        <f>F1_raw!H30</f>
        <v>0.41</v>
      </c>
      <c r="L5" s="3">
        <f>F1_raw!H31</f>
        <v>0.41</v>
      </c>
      <c r="M5" s="3">
        <f>F1_raw!H32</f>
        <v>0.41</v>
      </c>
      <c r="N5" s="3">
        <f>F1_raw!H33</f>
        <v>0.413333333333333</v>
      </c>
      <c r="O5" s="4">
        <f t="shared" si="3"/>
        <v>0.41</v>
      </c>
      <c r="P5" s="4">
        <f t="shared" si="4"/>
        <v>0.00235702260395515</v>
      </c>
      <c r="Q5" s="6">
        <f t="shared" si="5"/>
        <v>26.66</v>
      </c>
    </row>
    <row r="6" spans="1:17">
      <c r="A6" s="3" t="s">
        <v>52</v>
      </c>
      <c r="B6" s="3">
        <v>63</v>
      </c>
      <c r="C6" s="3">
        <v>61</v>
      </c>
      <c r="D6" s="3">
        <v>55</v>
      </c>
      <c r="E6" s="3">
        <v>57</v>
      </c>
      <c r="F6" s="3">
        <v>55</v>
      </c>
      <c r="G6" s="3">
        <f t="shared" si="0"/>
        <v>58.2</v>
      </c>
      <c r="H6" s="6">
        <f t="shared" si="1"/>
        <v>38.8</v>
      </c>
      <c r="I6" s="6">
        <f t="shared" si="2"/>
        <v>2.42212028327799</v>
      </c>
      <c r="J6" s="3">
        <f>F1_raw!H34</f>
        <v>0.426666666666667</v>
      </c>
      <c r="K6" s="3">
        <f>F1_raw!H35</f>
        <v>0.43</v>
      </c>
      <c r="L6" s="3">
        <f>F1_raw!H36</f>
        <v>0.43</v>
      </c>
      <c r="M6" s="3">
        <f>F1_raw!H37</f>
        <v>0.43</v>
      </c>
      <c r="N6" s="3">
        <f>F1_raw!H38</f>
        <v>0.433333333333333</v>
      </c>
      <c r="O6" s="4">
        <f t="shared" si="3"/>
        <v>0.43</v>
      </c>
      <c r="P6" s="4">
        <f t="shared" si="4"/>
        <v>0.00235702260395515</v>
      </c>
      <c r="Q6" s="6">
        <f t="shared" si="5"/>
        <v>24.53</v>
      </c>
    </row>
    <row r="7" spans="1:17">
      <c r="A7" s="3" t="s">
        <v>53</v>
      </c>
      <c r="B7" s="3">
        <v>51</v>
      </c>
      <c r="C7" s="3">
        <v>51</v>
      </c>
      <c r="D7" s="3">
        <v>48</v>
      </c>
      <c r="E7" s="3">
        <v>52</v>
      </c>
      <c r="F7" s="3">
        <v>55</v>
      </c>
      <c r="G7" s="3">
        <f t="shared" si="0"/>
        <v>51.4</v>
      </c>
      <c r="H7" s="6">
        <f t="shared" si="1"/>
        <v>34.2666666666667</v>
      </c>
      <c r="I7" s="6">
        <f t="shared" si="2"/>
        <v>1.67332005306815</v>
      </c>
      <c r="J7" s="3">
        <f>F1_raw!H39</f>
        <v>0.366666666666667</v>
      </c>
      <c r="K7" s="3">
        <f>F1_raw!H40</f>
        <v>0.37</v>
      </c>
      <c r="L7" s="3">
        <f>F1_raw!H41</f>
        <v>0.37</v>
      </c>
      <c r="M7" s="3">
        <f>F1_raw!H42</f>
        <v>0.37</v>
      </c>
      <c r="N7" s="3">
        <f>F1_raw!H43</f>
        <v>0.373333333333333</v>
      </c>
      <c r="O7" s="4">
        <f t="shared" si="3"/>
        <v>0.37</v>
      </c>
      <c r="P7" s="4">
        <f t="shared" si="4"/>
        <v>0.00235702260395517</v>
      </c>
      <c r="Q7" s="6">
        <f t="shared" si="5"/>
        <v>29.06</v>
      </c>
    </row>
    <row r="8" spans="1:17">
      <c r="A8" s="3" t="s">
        <v>54</v>
      </c>
      <c r="B8" s="3">
        <v>51</v>
      </c>
      <c r="C8" s="3">
        <v>54</v>
      </c>
      <c r="D8" s="3">
        <v>49</v>
      </c>
      <c r="E8" s="3">
        <v>56</v>
      </c>
      <c r="F8" s="3">
        <v>54</v>
      </c>
      <c r="G8" s="3">
        <f t="shared" si="0"/>
        <v>52.8</v>
      </c>
      <c r="H8" s="6">
        <f t="shared" si="1"/>
        <v>35.2</v>
      </c>
      <c r="I8" s="6">
        <f t="shared" si="2"/>
        <v>1.84992492340155</v>
      </c>
      <c r="J8" s="3">
        <f>F1_raw!H44</f>
        <v>0.386666666666667</v>
      </c>
      <c r="K8" s="3">
        <f>F1_raw!H45</f>
        <v>0.39</v>
      </c>
      <c r="L8" s="3">
        <f>F1_raw!H46</f>
        <v>0.39</v>
      </c>
      <c r="M8" s="3">
        <f>F1_raw!H47</f>
        <v>0.39</v>
      </c>
      <c r="N8" s="3">
        <f>F1_raw!H48</f>
        <v>0.393333333333333</v>
      </c>
      <c r="O8" s="4">
        <f t="shared" si="3"/>
        <v>0.39</v>
      </c>
      <c r="P8" s="4">
        <f t="shared" si="4"/>
        <v>0.00235702260395515</v>
      </c>
      <c r="Q8" s="6">
        <f t="shared" si="5"/>
        <v>28.13</v>
      </c>
    </row>
    <row r="9" spans="1:17">
      <c r="A9" s="3" t="s">
        <v>55</v>
      </c>
      <c r="B9" s="3">
        <v>45</v>
      </c>
      <c r="C9" s="3">
        <v>44</v>
      </c>
      <c r="D9" s="3">
        <v>44</v>
      </c>
      <c r="E9" s="3">
        <v>43</v>
      </c>
      <c r="F9" s="3">
        <v>44</v>
      </c>
      <c r="G9" s="3">
        <f t="shared" si="0"/>
        <v>44</v>
      </c>
      <c r="H9" s="6">
        <f t="shared" si="1"/>
        <v>29.3333333333333</v>
      </c>
      <c r="I9" s="6">
        <f t="shared" si="2"/>
        <v>0.471404520791032</v>
      </c>
      <c r="J9" s="3">
        <f>F1_raw!H49</f>
        <v>0.316666666666667</v>
      </c>
      <c r="K9" s="3">
        <f>F1_raw!H50</f>
        <v>0.32</v>
      </c>
      <c r="L9" s="3">
        <f>F1_raw!H51</f>
        <v>0.32</v>
      </c>
      <c r="M9" s="3">
        <f>F1_raw!H52</f>
        <v>0.32</v>
      </c>
      <c r="N9" s="3">
        <f>F1_raw!H53</f>
        <v>0.323333333333333</v>
      </c>
      <c r="O9" s="4">
        <f t="shared" si="3"/>
        <v>0.32</v>
      </c>
      <c r="P9" s="4">
        <f t="shared" si="4"/>
        <v>0.00235702260395515</v>
      </c>
      <c r="Q9" s="6">
        <f t="shared" si="5"/>
        <v>34</v>
      </c>
    </row>
    <row r="10" spans="1:17">
      <c r="A10" s="9" t="s">
        <v>19</v>
      </c>
      <c r="B10" s="3">
        <v>95</v>
      </c>
      <c r="C10" s="3">
        <v>95</v>
      </c>
      <c r="D10" s="3">
        <v>94</v>
      </c>
      <c r="E10" s="3">
        <v>96</v>
      </c>
      <c r="F10" s="3">
        <v>95</v>
      </c>
      <c r="G10" s="3">
        <f t="shared" si="0"/>
        <v>95</v>
      </c>
      <c r="H10" s="6">
        <f t="shared" si="1"/>
        <v>63.3333333333333</v>
      </c>
      <c r="I10" s="6">
        <f t="shared" si="2"/>
        <v>0.471404520791032</v>
      </c>
      <c r="J10" s="3">
        <f>F1_raw!H54</f>
        <v>0.466666666666667</v>
      </c>
      <c r="K10" s="3">
        <f>F1_raw!H55</f>
        <v>0.47</v>
      </c>
      <c r="L10" s="3">
        <f>F1_raw!H56</f>
        <v>0.47</v>
      </c>
      <c r="M10" s="3">
        <f>F1_raw!H57</f>
        <v>0.47</v>
      </c>
      <c r="N10" s="3">
        <f>F1_raw!H58</f>
        <v>0.473333333333333</v>
      </c>
      <c r="O10" s="4">
        <f t="shared" si="3"/>
        <v>0.47</v>
      </c>
      <c r="P10" s="4">
        <f t="shared" si="4"/>
        <v>0.00235702260395515</v>
      </c>
      <c r="Q10" s="6">
        <f t="shared" si="5"/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A1" sqref="A1"/>
    </sheetView>
  </sheetViews>
  <sheetFormatPr defaultColWidth="9" defaultRowHeight="14.1" outlineLevelCol="6"/>
  <cols>
    <col min="1" max="1" width="34" customWidth="1"/>
    <col min="2" max="2" width="30" customWidth="1"/>
    <col min="3" max="4" width="8" customWidth="1"/>
    <col min="5" max="5" width="12" customWidth="1"/>
    <col min="6" max="6" width="8" customWidth="1"/>
  </cols>
  <sheetData>
    <row r="1" ht="15" spans="1:7">
      <c r="A1" s="1" t="s">
        <v>56</v>
      </c>
    </row>
    <row r="3" ht="28.3" spans="1:7">
      <c r="A3" s="2" t="s">
        <v>57</v>
      </c>
      <c r="B3" s="2" t="s">
        <v>58</v>
      </c>
      <c r="C3" s="2" t="s">
        <v>59</v>
      </c>
      <c r="D3" s="2" t="s">
        <v>60</v>
      </c>
      <c r="E3" s="2" t="s">
        <v>25</v>
      </c>
      <c r="F3" s="2" t="s">
        <v>61</v>
      </c>
      <c r="G3" s="2"/>
    </row>
    <row r="4" spans="1:7">
      <c r="A4" s="3" t="s">
        <v>62</v>
      </c>
      <c r="B4" s="3" t="s">
        <v>63</v>
      </c>
      <c r="C4" s="3">
        <v>70</v>
      </c>
      <c r="D4" s="3">
        <v>98</v>
      </c>
      <c r="E4" s="3">
        <v>107</v>
      </c>
      <c r="F4" s="6">
        <f t="shared" ref="F4:F10" si="0">C4/E4*100</f>
        <v>65.4205607476635</v>
      </c>
      <c r="G4" s="4"/>
    </row>
    <row r="5" spans="1:7">
      <c r="A5" s="3" t="s">
        <v>62</v>
      </c>
      <c r="B5" s="3" t="s">
        <v>64</v>
      </c>
      <c r="C5" s="3">
        <v>11</v>
      </c>
      <c r="D5" s="3">
        <v>16</v>
      </c>
      <c r="E5" s="3">
        <v>18</v>
      </c>
      <c r="F5" s="6">
        <f t="shared" si="0"/>
        <v>61.1111111111111</v>
      </c>
      <c r="G5" s="4"/>
    </row>
    <row r="6" spans="1:7">
      <c r="A6" s="3" t="s">
        <v>62</v>
      </c>
      <c r="B6" s="3" t="s">
        <v>65</v>
      </c>
      <c r="C6" s="3">
        <v>9</v>
      </c>
      <c r="D6" s="3">
        <v>13</v>
      </c>
      <c r="E6" s="3">
        <v>15</v>
      </c>
      <c r="F6" s="6">
        <f t="shared" si="0"/>
        <v>60</v>
      </c>
      <c r="G6" s="4"/>
    </row>
    <row r="7" spans="1:7">
      <c r="A7" s="3" t="s">
        <v>62</v>
      </c>
      <c r="B7" s="3" t="s">
        <v>66</v>
      </c>
      <c r="C7" s="3">
        <v>9</v>
      </c>
      <c r="D7" s="3">
        <v>12</v>
      </c>
      <c r="E7" s="3">
        <v>14</v>
      </c>
      <c r="F7" s="6">
        <f t="shared" si="0"/>
        <v>64.2857142857143</v>
      </c>
      <c r="G7" s="4"/>
    </row>
    <row r="8" spans="1:7">
      <c r="A8" s="3" t="s">
        <v>62</v>
      </c>
      <c r="B8" s="3" t="s">
        <v>67</v>
      </c>
      <c r="C8" s="3">
        <v>8</v>
      </c>
      <c r="D8" s="3">
        <v>11</v>
      </c>
      <c r="E8" s="3">
        <v>13</v>
      </c>
      <c r="F8" s="6">
        <f t="shared" si="0"/>
        <v>61.5384615384615</v>
      </c>
      <c r="G8" s="4"/>
    </row>
    <row r="9" spans="1:7">
      <c r="A9" s="3" t="s">
        <v>62</v>
      </c>
      <c r="B9" s="3" t="s">
        <v>68</v>
      </c>
      <c r="C9" s="3">
        <v>7</v>
      </c>
      <c r="D9" s="3">
        <v>10</v>
      </c>
      <c r="E9" s="3">
        <v>11</v>
      </c>
      <c r="F9" s="6">
        <f t="shared" si="0"/>
        <v>63.6363636363636</v>
      </c>
      <c r="G9" s="4"/>
    </row>
    <row r="10" spans="1:7">
      <c r="A10" s="3" t="s">
        <v>62</v>
      </c>
      <c r="B10" s="3" t="s">
        <v>69</v>
      </c>
      <c r="C10" s="3">
        <v>35</v>
      </c>
      <c r="D10" s="3">
        <v>52</v>
      </c>
      <c r="E10" s="3">
        <v>57</v>
      </c>
      <c r="F10" s="6">
        <f t="shared" si="0"/>
        <v>61.4035087719298</v>
      </c>
      <c r="G10" s="4"/>
    </row>
    <row r="12" spans="1:7">
      <c r="A12" s="3" t="s">
        <v>70</v>
      </c>
      <c r="B12" s="3" t="s">
        <v>71</v>
      </c>
      <c r="C12" s="3">
        <v>43</v>
      </c>
      <c r="D12" s="3">
        <v>63</v>
      </c>
      <c r="E12" s="3">
        <v>69</v>
      </c>
      <c r="F12" s="6">
        <f>C12/E12*100</f>
        <v>62.3188405797101</v>
      </c>
      <c r="G12" s="4"/>
    </row>
    <row r="13" spans="1:7">
      <c r="A13" s="3" t="s">
        <v>70</v>
      </c>
      <c r="B13" s="3" t="s">
        <v>72</v>
      </c>
      <c r="C13" s="3">
        <v>64</v>
      </c>
      <c r="D13" s="3">
        <v>93</v>
      </c>
      <c r="E13" s="3">
        <v>104</v>
      </c>
      <c r="F13" s="6">
        <f>C13/E13*100</f>
        <v>61.5384615384615</v>
      </c>
      <c r="G13" s="4"/>
    </row>
    <row r="14" spans="1:7">
      <c r="A14" s="3" t="s">
        <v>70</v>
      </c>
      <c r="B14" s="3" t="s">
        <v>73</v>
      </c>
      <c r="C14" s="3">
        <v>42</v>
      </c>
      <c r="D14" s="3">
        <v>56</v>
      </c>
      <c r="E14" s="3">
        <v>62</v>
      </c>
      <c r="F14" s="6">
        <f>C14/E14*100</f>
        <v>67.741935483871</v>
      </c>
      <c r="G14" s="4"/>
    </row>
    <row r="16" spans="1:7">
      <c r="A16" s="3" t="s">
        <v>74</v>
      </c>
      <c r="B16" s="3" t="s">
        <v>75</v>
      </c>
      <c r="C16" s="3">
        <v>49</v>
      </c>
      <c r="D16" s="3">
        <v>67</v>
      </c>
      <c r="E16" s="3">
        <v>73</v>
      </c>
      <c r="F16" s="6">
        <f>C16/E16*100</f>
        <v>67.1232876712329</v>
      </c>
      <c r="G16" s="4"/>
    </row>
    <row r="17" spans="1:7">
      <c r="A17" s="3" t="s">
        <v>74</v>
      </c>
      <c r="B17" s="3" t="s">
        <v>76</v>
      </c>
      <c r="C17" s="3">
        <v>78</v>
      </c>
      <c r="D17" s="3">
        <v>111</v>
      </c>
      <c r="E17" s="3">
        <v>124</v>
      </c>
      <c r="F17" s="6">
        <f>C17/E17*100</f>
        <v>62.9032258064516</v>
      </c>
      <c r="G17" s="4"/>
    </row>
    <row r="18" spans="1:7">
      <c r="A18" s="3" t="s">
        <v>74</v>
      </c>
      <c r="B18" s="3" t="s">
        <v>77</v>
      </c>
      <c r="C18" s="3">
        <v>22</v>
      </c>
      <c r="D18" s="3">
        <v>34</v>
      </c>
      <c r="E18" s="3">
        <v>38</v>
      </c>
      <c r="F18" s="6">
        <f>C18/E18*100</f>
        <v>57.8947368421053</v>
      </c>
      <c r="G18" s="4"/>
    </row>
    <row r="20" spans="1:7">
      <c r="A20" t="s">
        <v>78</v>
      </c>
      <c r="B20" t="s">
        <v>79</v>
      </c>
      <c r="C20">
        <f>SUM(C4:C10)</f>
        <v>149</v>
      </c>
      <c r="D20">
        <f>SUM(D4:D10)</f>
        <v>212</v>
      </c>
      <c r="E20">
        <v>235</v>
      </c>
      <c r="F20" s="7">
        <f>C20/E20*100</f>
        <v>63.4042553191489</v>
      </c>
      <c r="G20" s="8"/>
    </row>
    <row r="21" spans="1:7">
      <c r="A21" t="s">
        <v>80</v>
      </c>
      <c r="E21">
        <f>ROUND(42/62*100,2)-ROUND(64/104*100,2)</f>
        <v>6.2</v>
      </c>
    </row>
    <row r="22" spans="1:7">
      <c r="A22" s="3"/>
      <c r="B22" s="3"/>
      <c r="C22" s="3"/>
      <c r="D22" s="3"/>
      <c r="E22" s="6"/>
    </row>
    <row r="23" spans="1:7">
      <c r="A23" s="3" t="s">
        <v>81</v>
      </c>
      <c r="B23" s="3" t="s">
        <v>82</v>
      </c>
      <c r="C23" s="3" t="s">
        <v>82</v>
      </c>
      <c r="D23" s="3" t="s">
        <v>82</v>
      </c>
      <c r="E23" s="6">
        <f>ROUND(64/104*100,2)-34.46</f>
        <v>27.08</v>
      </c>
    </row>
    <row r="24" spans="1:7">
      <c r="A24" s="3" t="s">
        <v>83</v>
      </c>
      <c r="B24" s="3">
        <v>25</v>
      </c>
      <c r="C24" s="3">
        <v>73</v>
      </c>
      <c r="D24" s="3" t="s">
        <v>82</v>
      </c>
      <c r="E24" s="6">
        <f>25/73*100</f>
        <v>34.2465753424658</v>
      </c>
    </row>
    <row r="25" spans="1:7">
      <c r="A25" s="3" t="s">
        <v>84</v>
      </c>
      <c r="B25" s="3">
        <v>5</v>
      </c>
      <c r="C25" s="3">
        <v>38</v>
      </c>
      <c r="D25" s="3" t="s">
        <v>82</v>
      </c>
      <c r="E25" s="6">
        <f>5/38*100</f>
        <v>13.1578947368421</v>
      </c>
    </row>
    <row r="26" spans="1:7">
      <c r="A26" s="3" t="s">
        <v>85</v>
      </c>
      <c r="B26" s="3" t="s">
        <v>82</v>
      </c>
      <c r="C26" s="3" t="s">
        <v>82</v>
      </c>
      <c r="D26" s="3" t="s">
        <v>82</v>
      </c>
      <c r="E26" s="6">
        <f>ROUND(22/38*100,2)-ROUND(5/38*100,2)</f>
        <v>44.73</v>
      </c>
    </row>
    <row r="27" spans="1:7">
      <c r="A27" s="3" t="s">
        <v>86</v>
      </c>
      <c r="B27" s="3" t="s">
        <v>82</v>
      </c>
      <c r="C27" s="3" t="s">
        <v>82</v>
      </c>
      <c r="D27" s="3" t="s">
        <v>82</v>
      </c>
      <c r="E27" s="6">
        <f>ROUND(RQ1_raw!H7,2)-ROUND(RQ1_raw!H6,2)</f>
        <v>34.98</v>
      </c>
    </row>
    <row r="28" spans="1:7">
      <c r="A28" s="3" t="s">
        <v>87</v>
      </c>
      <c r="B28" s="3" t="s">
        <v>82</v>
      </c>
      <c r="C28" s="3" t="s">
        <v>82</v>
      </c>
      <c r="D28" s="3" t="s">
        <v>82</v>
      </c>
      <c r="E28" s="6">
        <f>(25/73-5/38)/(25/73)*100</f>
        <v>61.5789473684211</v>
      </c>
    </row>
    <row r="29" spans="1:7">
      <c r="A29" s="3" t="s">
        <v>88</v>
      </c>
      <c r="B29" s="3" t="s">
        <v>82</v>
      </c>
      <c r="C29" s="3" t="s">
        <v>82</v>
      </c>
      <c r="D29" s="3" t="s">
        <v>82</v>
      </c>
      <c r="E29" s="6">
        <f>(49/73-22/38)/(49/73)*100</f>
        <v>13.7486573576799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workbookViewId="0">
      <pane ySplit="3" topLeftCell="A4" activePane="bottomLeft" state="frozen"/>
      <selection/>
      <selection pane="bottomLeft" activeCell="A1" sqref="A1"/>
    </sheetView>
  </sheetViews>
  <sheetFormatPr defaultColWidth="9" defaultRowHeight="14.1" outlineLevelCol="7"/>
  <cols>
    <col min="1" max="1" width="8" customWidth="1"/>
    <col min="2" max="2" width="34" customWidth="1"/>
    <col min="3" max="3" width="6" customWidth="1"/>
    <col min="4" max="5" width="7" customWidth="1"/>
    <col min="6" max="8" width="9" customWidth="1"/>
  </cols>
  <sheetData>
    <row r="1" ht="15" spans="1:8">
      <c r="A1" s="1" t="s">
        <v>89</v>
      </c>
    </row>
    <row r="3" ht="28.3" spans="1:8">
      <c r="A3" s="2" t="s">
        <v>90</v>
      </c>
      <c r="B3" s="2" t="s">
        <v>1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</row>
    <row r="4" spans="1:8">
      <c r="A4" s="3" t="s">
        <v>97</v>
      </c>
      <c r="B4" s="3" t="s">
        <v>16</v>
      </c>
      <c r="C4" s="3">
        <v>1</v>
      </c>
      <c r="D4" s="3">
        <v>9</v>
      </c>
      <c r="E4" s="3">
        <v>144</v>
      </c>
      <c r="F4" s="4">
        <f t="shared" ref="F4:F58" si="0">D4/E4</f>
        <v>0.0625</v>
      </c>
      <c r="G4" s="4">
        <f t="shared" ref="G4:G23" si="1">D4/56</f>
        <v>0.160714285714286</v>
      </c>
      <c r="H4" s="4">
        <f t="shared" ref="H4:H23" si="2">2*D4/(E4+56)</f>
        <v>0.09</v>
      </c>
    </row>
    <row r="5" spans="1:8">
      <c r="A5" s="3" t="s">
        <v>97</v>
      </c>
      <c r="B5" s="3" t="s">
        <v>16</v>
      </c>
      <c r="C5" s="3">
        <v>2</v>
      </c>
      <c r="D5" s="3">
        <v>9</v>
      </c>
      <c r="E5" s="3">
        <v>144</v>
      </c>
      <c r="F5" s="4">
        <f t="shared" si="0"/>
        <v>0.0625</v>
      </c>
      <c r="G5" s="4">
        <f t="shared" si="1"/>
        <v>0.160714285714286</v>
      </c>
      <c r="H5" s="4">
        <f t="shared" si="2"/>
        <v>0.09</v>
      </c>
    </row>
    <row r="6" spans="1:8">
      <c r="A6" s="3" t="s">
        <v>97</v>
      </c>
      <c r="B6" s="3" t="s">
        <v>16</v>
      </c>
      <c r="C6" s="3">
        <v>3</v>
      </c>
      <c r="D6" s="3">
        <v>9</v>
      </c>
      <c r="E6" s="3">
        <v>144</v>
      </c>
      <c r="F6" s="4">
        <f t="shared" si="0"/>
        <v>0.0625</v>
      </c>
      <c r="G6" s="4">
        <f t="shared" si="1"/>
        <v>0.160714285714286</v>
      </c>
      <c r="H6" s="4">
        <f t="shared" si="2"/>
        <v>0.09</v>
      </c>
    </row>
    <row r="7" spans="1:8">
      <c r="A7" s="3" t="s">
        <v>97</v>
      </c>
      <c r="B7" s="3" t="s">
        <v>16</v>
      </c>
      <c r="C7" s="3">
        <v>4</v>
      </c>
      <c r="D7" s="3">
        <v>8</v>
      </c>
      <c r="E7" s="3">
        <v>144</v>
      </c>
      <c r="F7" s="4">
        <f t="shared" si="0"/>
        <v>0.0555555555555556</v>
      </c>
      <c r="G7" s="4">
        <f t="shared" si="1"/>
        <v>0.142857142857143</v>
      </c>
      <c r="H7" s="4">
        <f t="shared" si="2"/>
        <v>0.08</v>
      </c>
    </row>
    <row r="8" spans="1:8">
      <c r="A8" s="3" t="s">
        <v>97</v>
      </c>
      <c r="B8" s="3" t="s">
        <v>16</v>
      </c>
      <c r="C8" s="3">
        <v>5</v>
      </c>
      <c r="D8" s="3">
        <v>10</v>
      </c>
      <c r="E8" s="3">
        <v>144</v>
      </c>
      <c r="F8" s="4">
        <f t="shared" si="0"/>
        <v>0.0694444444444444</v>
      </c>
      <c r="G8" s="4">
        <f t="shared" si="1"/>
        <v>0.178571428571429</v>
      </c>
      <c r="H8" s="4">
        <f t="shared" si="2"/>
        <v>0.1</v>
      </c>
    </row>
    <row r="9" spans="1:8">
      <c r="A9" s="3" t="s">
        <v>97</v>
      </c>
      <c r="B9" s="3" t="s">
        <v>17</v>
      </c>
      <c r="C9" s="3">
        <v>1</v>
      </c>
      <c r="D9" s="3">
        <v>22</v>
      </c>
      <c r="E9" s="3">
        <v>142</v>
      </c>
      <c r="F9" s="4">
        <f t="shared" si="0"/>
        <v>0.154929577464789</v>
      </c>
      <c r="G9" s="4">
        <f t="shared" si="1"/>
        <v>0.392857142857143</v>
      </c>
      <c r="H9" s="4">
        <f t="shared" si="2"/>
        <v>0.222222222222222</v>
      </c>
    </row>
    <row r="10" spans="1:8">
      <c r="A10" s="3" t="s">
        <v>97</v>
      </c>
      <c r="B10" s="3" t="s">
        <v>17</v>
      </c>
      <c r="C10" s="3">
        <v>2</v>
      </c>
      <c r="D10" s="3">
        <v>22</v>
      </c>
      <c r="E10" s="3">
        <v>143</v>
      </c>
      <c r="F10" s="4">
        <f t="shared" si="0"/>
        <v>0.153846153846154</v>
      </c>
      <c r="G10" s="4">
        <f t="shared" si="1"/>
        <v>0.392857142857143</v>
      </c>
      <c r="H10" s="4">
        <f t="shared" si="2"/>
        <v>0.221105527638191</v>
      </c>
    </row>
    <row r="11" spans="1:8">
      <c r="A11" s="3" t="s">
        <v>97</v>
      </c>
      <c r="B11" s="3" t="s">
        <v>17</v>
      </c>
      <c r="C11" s="3">
        <v>3</v>
      </c>
      <c r="D11" s="3">
        <v>22</v>
      </c>
      <c r="E11" s="3">
        <v>143</v>
      </c>
      <c r="F11" s="4">
        <f t="shared" si="0"/>
        <v>0.153846153846154</v>
      </c>
      <c r="G11" s="4">
        <f t="shared" si="1"/>
        <v>0.392857142857143</v>
      </c>
      <c r="H11" s="4">
        <f t="shared" si="2"/>
        <v>0.221105527638191</v>
      </c>
    </row>
    <row r="12" spans="1:8">
      <c r="A12" s="3" t="s">
        <v>97</v>
      </c>
      <c r="B12" s="3" t="s">
        <v>17</v>
      </c>
      <c r="C12" s="3">
        <v>4</v>
      </c>
      <c r="D12" s="3">
        <v>21</v>
      </c>
      <c r="E12" s="3">
        <v>142</v>
      </c>
      <c r="F12" s="4">
        <f t="shared" si="0"/>
        <v>0.147887323943662</v>
      </c>
      <c r="G12" s="4">
        <f t="shared" si="1"/>
        <v>0.375</v>
      </c>
      <c r="H12" s="4">
        <f t="shared" si="2"/>
        <v>0.212121212121212</v>
      </c>
    </row>
    <row r="13" spans="1:8">
      <c r="A13" s="3" t="s">
        <v>97</v>
      </c>
      <c r="B13" s="3" t="s">
        <v>17</v>
      </c>
      <c r="C13" s="3">
        <v>5</v>
      </c>
      <c r="D13" s="3">
        <v>22</v>
      </c>
      <c r="E13" s="3">
        <v>143</v>
      </c>
      <c r="F13" s="4">
        <f t="shared" si="0"/>
        <v>0.153846153846154</v>
      </c>
      <c r="G13" s="4">
        <f t="shared" si="1"/>
        <v>0.392857142857143</v>
      </c>
      <c r="H13" s="4">
        <f t="shared" si="2"/>
        <v>0.221105527638191</v>
      </c>
    </row>
    <row r="14" spans="1:8">
      <c r="A14" s="3" t="s">
        <v>97</v>
      </c>
      <c r="B14" s="3" t="s">
        <v>18</v>
      </c>
      <c r="C14" s="3">
        <v>1</v>
      </c>
      <c r="D14" s="3">
        <v>16</v>
      </c>
      <c r="E14" s="3">
        <v>144</v>
      </c>
      <c r="F14" s="4">
        <f t="shared" si="0"/>
        <v>0.111111111111111</v>
      </c>
      <c r="G14" s="4">
        <f t="shared" si="1"/>
        <v>0.285714285714286</v>
      </c>
      <c r="H14" s="4">
        <f t="shared" si="2"/>
        <v>0.16</v>
      </c>
    </row>
    <row r="15" spans="1:8">
      <c r="A15" s="3" t="s">
        <v>97</v>
      </c>
      <c r="B15" s="3" t="s">
        <v>18</v>
      </c>
      <c r="C15" s="3">
        <v>2</v>
      </c>
      <c r="D15" s="3">
        <v>16</v>
      </c>
      <c r="E15" s="3">
        <v>144</v>
      </c>
      <c r="F15" s="4">
        <f t="shared" si="0"/>
        <v>0.111111111111111</v>
      </c>
      <c r="G15" s="4">
        <f t="shared" si="1"/>
        <v>0.285714285714286</v>
      </c>
      <c r="H15" s="4">
        <f t="shared" si="2"/>
        <v>0.16</v>
      </c>
    </row>
    <row r="16" spans="1:8">
      <c r="A16" s="3" t="s">
        <v>97</v>
      </c>
      <c r="B16" s="3" t="s">
        <v>18</v>
      </c>
      <c r="C16" s="3">
        <v>3</v>
      </c>
      <c r="D16" s="3">
        <v>16</v>
      </c>
      <c r="E16" s="3">
        <v>144</v>
      </c>
      <c r="F16" s="4">
        <f t="shared" si="0"/>
        <v>0.111111111111111</v>
      </c>
      <c r="G16" s="4">
        <f t="shared" si="1"/>
        <v>0.285714285714286</v>
      </c>
      <c r="H16" s="4">
        <f t="shared" si="2"/>
        <v>0.16</v>
      </c>
    </row>
    <row r="17" spans="1:8">
      <c r="A17" s="3" t="s">
        <v>97</v>
      </c>
      <c r="B17" s="3" t="s">
        <v>18</v>
      </c>
      <c r="C17" s="3">
        <v>4</v>
      </c>
      <c r="D17" s="3">
        <v>15</v>
      </c>
      <c r="E17" s="3">
        <v>144</v>
      </c>
      <c r="F17" s="4">
        <f t="shared" si="0"/>
        <v>0.104166666666667</v>
      </c>
      <c r="G17" s="4">
        <f t="shared" si="1"/>
        <v>0.267857142857143</v>
      </c>
      <c r="H17" s="4">
        <f t="shared" si="2"/>
        <v>0.15</v>
      </c>
    </row>
    <row r="18" spans="1:8">
      <c r="A18" s="3" t="s">
        <v>97</v>
      </c>
      <c r="B18" s="3" t="s">
        <v>18</v>
      </c>
      <c r="C18" s="3">
        <v>5</v>
      </c>
      <c r="D18" s="3">
        <v>17</v>
      </c>
      <c r="E18" s="3">
        <v>144</v>
      </c>
      <c r="F18" s="4">
        <f t="shared" si="0"/>
        <v>0.118055555555556</v>
      </c>
      <c r="G18" s="4">
        <f t="shared" si="1"/>
        <v>0.303571428571429</v>
      </c>
      <c r="H18" s="4">
        <f t="shared" si="2"/>
        <v>0.17</v>
      </c>
    </row>
    <row r="19" spans="1:8">
      <c r="A19" s="3" t="s">
        <v>97</v>
      </c>
      <c r="B19" s="3" t="s">
        <v>19</v>
      </c>
      <c r="C19" s="3">
        <v>1</v>
      </c>
      <c r="D19" s="3">
        <v>47</v>
      </c>
      <c r="E19" s="3">
        <v>144</v>
      </c>
      <c r="F19" s="4">
        <f t="shared" si="0"/>
        <v>0.326388888888889</v>
      </c>
      <c r="G19" s="4">
        <f t="shared" si="1"/>
        <v>0.839285714285714</v>
      </c>
      <c r="H19" s="4">
        <f t="shared" si="2"/>
        <v>0.47</v>
      </c>
    </row>
    <row r="20" spans="1:8">
      <c r="A20" s="3" t="s">
        <v>97</v>
      </c>
      <c r="B20" s="3" t="s">
        <v>19</v>
      </c>
      <c r="C20" s="3">
        <v>2</v>
      </c>
      <c r="D20" s="3">
        <v>47</v>
      </c>
      <c r="E20" s="3">
        <v>144</v>
      </c>
      <c r="F20" s="4">
        <f t="shared" si="0"/>
        <v>0.326388888888889</v>
      </c>
      <c r="G20" s="4">
        <f t="shared" si="1"/>
        <v>0.839285714285714</v>
      </c>
      <c r="H20" s="4">
        <f t="shared" si="2"/>
        <v>0.47</v>
      </c>
    </row>
    <row r="21" spans="1:8">
      <c r="A21" s="3" t="s">
        <v>97</v>
      </c>
      <c r="B21" s="3" t="s">
        <v>19</v>
      </c>
      <c r="C21" s="3">
        <v>3</v>
      </c>
      <c r="D21" s="3">
        <v>47</v>
      </c>
      <c r="E21" s="3">
        <v>144</v>
      </c>
      <c r="F21" s="4">
        <f t="shared" si="0"/>
        <v>0.326388888888889</v>
      </c>
      <c r="G21" s="4">
        <f t="shared" si="1"/>
        <v>0.839285714285714</v>
      </c>
      <c r="H21" s="4">
        <f t="shared" si="2"/>
        <v>0.47</v>
      </c>
    </row>
    <row r="22" spans="1:8">
      <c r="A22" s="3" t="s">
        <v>97</v>
      </c>
      <c r="B22" s="3" t="s">
        <v>19</v>
      </c>
      <c r="C22" s="3">
        <v>4</v>
      </c>
      <c r="D22" s="3">
        <v>46</v>
      </c>
      <c r="E22" s="3">
        <v>144</v>
      </c>
      <c r="F22" s="4">
        <f t="shared" si="0"/>
        <v>0.319444444444444</v>
      </c>
      <c r="G22" s="4">
        <f t="shared" si="1"/>
        <v>0.821428571428571</v>
      </c>
      <c r="H22" s="4">
        <f t="shared" si="2"/>
        <v>0.46</v>
      </c>
    </row>
    <row r="23" spans="1:8">
      <c r="A23" s="3" t="s">
        <v>97</v>
      </c>
      <c r="B23" s="3" t="s">
        <v>19</v>
      </c>
      <c r="C23" s="3">
        <v>5</v>
      </c>
      <c r="D23" s="3">
        <v>48</v>
      </c>
      <c r="E23" s="3">
        <v>144</v>
      </c>
      <c r="F23" s="4">
        <f t="shared" si="0"/>
        <v>0.333333333333333</v>
      </c>
      <c r="G23" s="4">
        <f t="shared" si="1"/>
        <v>0.857142857142857</v>
      </c>
      <c r="H23" s="4">
        <f t="shared" si="2"/>
        <v>0.48</v>
      </c>
    </row>
    <row r="24" spans="1:8">
      <c r="A24" s="3" t="s">
        <v>98</v>
      </c>
      <c r="B24" s="3" t="s">
        <v>50</v>
      </c>
      <c r="C24" s="3">
        <v>1</v>
      </c>
      <c r="D24" s="3">
        <v>104</v>
      </c>
      <c r="E24" s="3">
        <v>450</v>
      </c>
      <c r="F24" s="4">
        <f t="shared" si="0"/>
        <v>0.231111111111111</v>
      </c>
      <c r="G24" s="4">
        <f t="shared" ref="G24:G58" si="3">D24/150</f>
        <v>0.693333333333333</v>
      </c>
      <c r="H24" s="4">
        <f t="shared" ref="H24:H58" si="4">2*D24/(E24+150)</f>
        <v>0.346666666666667</v>
      </c>
    </row>
    <row r="25" spans="1:8">
      <c r="A25" s="3" t="s">
        <v>98</v>
      </c>
      <c r="B25" s="3" t="s">
        <v>50</v>
      </c>
      <c r="C25" s="3">
        <v>2</v>
      </c>
      <c r="D25" s="3">
        <v>105</v>
      </c>
      <c r="E25" s="3">
        <v>450</v>
      </c>
      <c r="F25" s="4">
        <f t="shared" si="0"/>
        <v>0.233333333333333</v>
      </c>
      <c r="G25" s="4">
        <f t="shared" si="3"/>
        <v>0.7</v>
      </c>
      <c r="H25" s="4">
        <f t="shared" si="4"/>
        <v>0.35</v>
      </c>
    </row>
    <row r="26" spans="1:8">
      <c r="A26" s="3" t="s">
        <v>98</v>
      </c>
      <c r="B26" s="3" t="s">
        <v>50</v>
      </c>
      <c r="C26" s="3">
        <v>3</v>
      </c>
      <c r="D26" s="3">
        <v>105</v>
      </c>
      <c r="E26" s="3">
        <v>450</v>
      </c>
      <c r="F26" s="4">
        <f t="shared" si="0"/>
        <v>0.233333333333333</v>
      </c>
      <c r="G26" s="4">
        <f t="shared" si="3"/>
        <v>0.7</v>
      </c>
      <c r="H26" s="4">
        <f t="shared" si="4"/>
        <v>0.35</v>
      </c>
    </row>
    <row r="27" spans="1:8">
      <c r="A27" s="3" t="s">
        <v>98</v>
      </c>
      <c r="B27" s="3" t="s">
        <v>50</v>
      </c>
      <c r="C27" s="3">
        <v>4</v>
      </c>
      <c r="D27" s="3">
        <v>105</v>
      </c>
      <c r="E27" s="3">
        <v>450</v>
      </c>
      <c r="F27" s="4">
        <f t="shared" si="0"/>
        <v>0.233333333333333</v>
      </c>
      <c r="G27" s="4">
        <f t="shared" si="3"/>
        <v>0.7</v>
      </c>
      <c r="H27" s="4">
        <f t="shared" si="4"/>
        <v>0.35</v>
      </c>
    </row>
    <row r="28" spans="1:8">
      <c r="A28" s="3" t="s">
        <v>98</v>
      </c>
      <c r="B28" s="3" t="s">
        <v>50</v>
      </c>
      <c r="C28" s="3">
        <v>5</v>
      </c>
      <c r="D28" s="3">
        <v>106</v>
      </c>
      <c r="E28" s="3">
        <v>450</v>
      </c>
      <c r="F28" s="4">
        <f t="shared" si="0"/>
        <v>0.235555555555556</v>
      </c>
      <c r="G28" s="4">
        <f t="shared" si="3"/>
        <v>0.706666666666667</v>
      </c>
      <c r="H28" s="4">
        <f t="shared" si="4"/>
        <v>0.353333333333333</v>
      </c>
    </row>
    <row r="29" spans="1:8">
      <c r="A29" s="3" t="s">
        <v>98</v>
      </c>
      <c r="B29" s="3" t="s">
        <v>51</v>
      </c>
      <c r="C29" s="3">
        <v>1</v>
      </c>
      <c r="D29" s="3">
        <v>122</v>
      </c>
      <c r="E29" s="3">
        <v>450</v>
      </c>
      <c r="F29" s="4">
        <f t="shared" si="0"/>
        <v>0.271111111111111</v>
      </c>
      <c r="G29" s="4">
        <f t="shared" si="3"/>
        <v>0.813333333333333</v>
      </c>
      <c r="H29" s="4">
        <f t="shared" si="4"/>
        <v>0.406666666666667</v>
      </c>
    </row>
    <row r="30" spans="1:8">
      <c r="A30" s="3" t="s">
        <v>98</v>
      </c>
      <c r="B30" s="3" t="s">
        <v>51</v>
      </c>
      <c r="C30" s="3">
        <v>2</v>
      </c>
      <c r="D30" s="3">
        <v>123</v>
      </c>
      <c r="E30" s="3">
        <v>450</v>
      </c>
      <c r="F30" s="4">
        <f t="shared" si="0"/>
        <v>0.273333333333333</v>
      </c>
      <c r="G30" s="4">
        <f t="shared" si="3"/>
        <v>0.82</v>
      </c>
      <c r="H30" s="4">
        <f t="shared" si="4"/>
        <v>0.41</v>
      </c>
    </row>
    <row r="31" spans="1:8">
      <c r="A31" s="3" t="s">
        <v>98</v>
      </c>
      <c r="B31" s="3" t="s">
        <v>51</v>
      </c>
      <c r="C31" s="3">
        <v>3</v>
      </c>
      <c r="D31" s="3">
        <v>123</v>
      </c>
      <c r="E31" s="3">
        <v>450</v>
      </c>
      <c r="F31" s="4">
        <f t="shared" si="0"/>
        <v>0.273333333333333</v>
      </c>
      <c r="G31" s="4">
        <f t="shared" si="3"/>
        <v>0.82</v>
      </c>
      <c r="H31" s="4">
        <f t="shared" si="4"/>
        <v>0.41</v>
      </c>
    </row>
    <row r="32" spans="1:8">
      <c r="A32" s="3" t="s">
        <v>98</v>
      </c>
      <c r="B32" s="3" t="s">
        <v>51</v>
      </c>
      <c r="C32" s="3">
        <v>4</v>
      </c>
      <c r="D32" s="3">
        <v>123</v>
      </c>
      <c r="E32" s="3">
        <v>450</v>
      </c>
      <c r="F32" s="4">
        <f t="shared" si="0"/>
        <v>0.273333333333333</v>
      </c>
      <c r="G32" s="4">
        <f t="shared" si="3"/>
        <v>0.82</v>
      </c>
      <c r="H32" s="4">
        <f t="shared" si="4"/>
        <v>0.41</v>
      </c>
    </row>
    <row r="33" spans="1:8">
      <c r="A33" s="3" t="s">
        <v>98</v>
      </c>
      <c r="B33" s="3" t="s">
        <v>51</v>
      </c>
      <c r="C33" s="3">
        <v>5</v>
      </c>
      <c r="D33" s="3">
        <v>124</v>
      </c>
      <c r="E33" s="3">
        <v>450</v>
      </c>
      <c r="F33" s="4">
        <f t="shared" si="0"/>
        <v>0.275555555555556</v>
      </c>
      <c r="G33" s="4">
        <f t="shared" si="3"/>
        <v>0.826666666666667</v>
      </c>
      <c r="H33" s="4">
        <f t="shared" si="4"/>
        <v>0.413333333333333</v>
      </c>
    </row>
    <row r="34" spans="1:8">
      <c r="A34" s="3" t="s">
        <v>98</v>
      </c>
      <c r="B34" s="3" t="s">
        <v>52</v>
      </c>
      <c r="C34" s="3">
        <v>1</v>
      </c>
      <c r="D34" s="3">
        <v>128</v>
      </c>
      <c r="E34" s="3">
        <v>450</v>
      </c>
      <c r="F34" s="4">
        <f t="shared" si="0"/>
        <v>0.284444444444444</v>
      </c>
      <c r="G34" s="4">
        <f t="shared" si="3"/>
        <v>0.853333333333333</v>
      </c>
      <c r="H34" s="4">
        <f t="shared" si="4"/>
        <v>0.426666666666667</v>
      </c>
    </row>
    <row r="35" spans="1:8">
      <c r="A35" s="3" t="s">
        <v>98</v>
      </c>
      <c r="B35" s="3" t="s">
        <v>52</v>
      </c>
      <c r="C35" s="3">
        <v>2</v>
      </c>
      <c r="D35" s="3">
        <v>129</v>
      </c>
      <c r="E35" s="3">
        <v>450</v>
      </c>
      <c r="F35" s="4">
        <f t="shared" si="0"/>
        <v>0.286666666666667</v>
      </c>
      <c r="G35" s="4">
        <f t="shared" si="3"/>
        <v>0.86</v>
      </c>
      <c r="H35" s="4">
        <f t="shared" si="4"/>
        <v>0.43</v>
      </c>
    </row>
    <row r="36" spans="1:8">
      <c r="A36" s="3" t="s">
        <v>98</v>
      </c>
      <c r="B36" s="3" t="s">
        <v>52</v>
      </c>
      <c r="C36" s="3">
        <v>3</v>
      </c>
      <c r="D36" s="3">
        <v>129</v>
      </c>
      <c r="E36" s="3">
        <v>450</v>
      </c>
      <c r="F36" s="4">
        <f t="shared" si="0"/>
        <v>0.286666666666667</v>
      </c>
      <c r="G36" s="4">
        <f t="shared" si="3"/>
        <v>0.86</v>
      </c>
      <c r="H36" s="4">
        <f t="shared" si="4"/>
        <v>0.43</v>
      </c>
    </row>
    <row r="37" spans="1:8">
      <c r="A37" s="3" t="s">
        <v>98</v>
      </c>
      <c r="B37" s="3" t="s">
        <v>52</v>
      </c>
      <c r="C37" s="3">
        <v>4</v>
      </c>
      <c r="D37" s="3">
        <v>129</v>
      </c>
      <c r="E37" s="3">
        <v>450</v>
      </c>
      <c r="F37" s="4">
        <f t="shared" si="0"/>
        <v>0.286666666666667</v>
      </c>
      <c r="G37" s="4">
        <f t="shared" si="3"/>
        <v>0.86</v>
      </c>
      <c r="H37" s="4">
        <f t="shared" si="4"/>
        <v>0.43</v>
      </c>
    </row>
    <row r="38" spans="1:8">
      <c r="A38" s="3" t="s">
        <v>98</v>
      </c>
      <c r="B38" s="3" t="s">
        <v>52</v>
      </c>
      <c r="C38" s="3">
        <v>5</v>
      </c>
      <c r="D38" s="3">
        <v>130</v>
      </c>
      <c r="E38" s="3">
        <v>450</v>
      </c>
      <c r="F38" s="4">
        <f t="shared" si="0"/>
        <v>0.288888888888889</v>
      </c>
      <c r="G38" s="4">
        <f t="shared" si="3"/>
        <v>0.866666666666667</v>
      </c>
      <c r="H38" s="4">
        <f t="shared" si="4"/>
        <v>0.433333333333333</v>
      </c>
    </row>
    <row r="39" spans="1:8">
      <c r="A39" s="3" t="s">
        <v>98</v>
      </c>
      <c r="B39" s="3" t="s">
        <v>53</v>
      </c>
      <c r="C39" s="3">
        <v>1</v>
      </c>
      <c r="D39" s="3">
        <v>110</v>
      </c>
      <c r="E39" s="3">
        <v>450</v>
      </c>
      <c r="F39" s="4">
        <f t="shared" si="0"/>
        <v>0.244444444444444</v>
      </c>
      <c r="G39" s="4">
        <f t="shared" si="3"/>
        <v>0.733333333333333</v>
      </c>
      <c r="H39" s="4">
        <f t="shared" si="4"/>
        <v>0.366666666666667</v>
      </c>
    </row>
    <row r="40" spans="1:8">
      <c r="A40" s="3" t="s">
        <v>98</v>
      </c>
      <c r="B40" s="3" t="s">
        <v>53</v>
      </c>
      <c r="C40" s="3">
        <v>2</v>
      </c>
      <c r="D40" s="3">
        <v>111</v>
      </c>
      <c r="E40" s="3">
        <v>450</v>
      </c>
      <c r="F40" s="4">
        <f t="shared" si="0"/>
        <v>0.246666666666667</v>
      </c>
      <c r="G40" s="4">
        <f t="shared" si="3"/>
        <v>0.74</v>
      </c>
      <c r="H40" s="4">
        <f t="shared" si="4"/>
        <v>0.37</v>
      </c>
    </row>
    <row r="41" spans="1:8">
      <c r="A41" s="3" t="s">
        <v>98</v>
      </c>
      <c r="B41" s="3" t="s">
        <v>53</v>
      </c>
      <c r="C41" s="3">
        <v>3</v>
      </c>
      <c r="D41" s="3">
        <v>111</v>
      </c>
      <c r="E41" s="3">
        <v>450</v>
      </c>
      <c r="F41" s="4">
        <f t="shared" si="0"/>
        <v>0.246666666666667</v>
      </c>
      <c r="G41" s="4">
        <f t="shared" si="3"/>
        <v>0.74</v>
      </c>
      <c r="H41" s="4">
        <f t="shared" si="4"/>
        <v>0.37</v>
      </c>
    </row>
    <row r="42" spans="1:8">
      <c r="A42" s="3" t="s">
        <v>98</v>
      </c>
      <c r="B42" s="3" t="s">
        <v>53</v>
      </c>
      <c r="C42" s="3">
        <v>4</v>
      </c>
      <c r="D42" s="3">
        <v>111</v>
      </c>
      <c r="E42" s="3">
        <v>450</v>
      </c>
      <c r="F42" s="4">
        <f t="shared" si="0"/>
        <v>0.246666666666667</v>
      </c>
      <c r="G42" s="4">
        <f t="shared" si="3"/>
        <v>0.74</v>
      </c>
      <c r="H42" s="4">
        <f t="shared" si="4"/>
        <v>0.37</v>
      </c>
    </row>
    <row r="43" spans="1:8">
      <c r="A43" s="3" t="s">
        <v>98</v>
      </c>
      <c r="B43" s="3" t="s">
        <v>53</v>
      </c>
      <c r="C43" s="3">
        <v>5</v>
      </c>
      <c r="D43" s="3">
        <v>112</v>
      </c>
      <c r="E43" s="3">
        <v>450</v>
      </c>
      <c r="F43" s="4">
        <f t="shared" si="0"/>
        <v>0.248888888888889</v>
      </c>
      <c r="G43" s="4">
        <f t="shared" si="3"/>
        <v>0.746666666666667</v>
      </c>
      <c r="H43" s="4">
        <f t="shared" si="4"/>
        <v>0.373333333333333</v>
      </c>
    </row>
    <row r="44" spans="1:8">
      <c r="A44" s="3" t="s">
        <v>98</v>
      </c>
      <c r="B44" s="3" t="s">
        <v>54</v>
      </c>
      <c r="C44" s="3">
        <v>1</v>
      </c>
      <c r="D44" s="3">
        <v>116</v>
      </c>
      <c r="E44" s="3">
        <v>450</v>
      </c>
      <c r="F44" s="4">
        <f t="shared" si="0"/>
        <v>0.257777777777778</v>
      </c>
      <c r="G44" s="4">
        <f t="shared" si="3"/>
        <v>0.773333333333333</v>
      </c>
      <c r="H44" s="4">
        <f t="shared" si="4"/>
        <v>0.386666666666667</v>
      </c>
    </row>
    <row r="45" spans="1:8">
      <c r="A45" s="3" t="s">
        <v>98</v>
      </c>
      <c r="B45" s="3" t="s">
        <v>54</v>
      </c>
      <c r="C45" s="3">
        <v>2</v>
      </c>
      <c r="D45" s="3">
        <v>117</v>
      </c>
      <c r="E45" s="3">
        <v>450</v>
      </c>
      <c r="F45" s="4">
        <f t="shared" si="0"/>
        <v>0.26</v>
      </c>
      <c r="G45" s="4">
        <f t="shared" si="3"/>
        <v>0.78</v>
      </c>
      <c r="H45" s="4">
        <f t="shared" si="4"/>
        <v>0.39</v>
      </c>
    </row>
    <row r="46" spans="1:8">
      <c r="A46" s="3" t="s">
        <v>98</v>
      </c>
      <c r="B46" s="3" t="s">
        <v>54</v>
      </c>
      <c r="C46" s="3">
        <v>3</v>
      </c>
      <c r="D46" s="3">
        <v>117</v>
      </c>
      <c r="E46" s="3">
        <v>450</v>
      </c>
      <c r="F46" s="4">
        <f t="shared" si="0"/>
        <v>0.26</v>
      </c>
      <c r="G46" s="4">
        <f t="shared" si="3"/>
        <v>0.78</v>
      </c>
      <c r="H46" s="4">
        <f t="shared" si="4"/>
        <v>0.39</v>
      </c>
    </row>
    <row r="47" spans="1:8">
      <c r="A47" s="3" t="s">
        <v>98</v>
      </c>
      <c r="B47" s="3" t="s">
        <v>54</v>
      </c>
      <c r="C47" s="3">
        <v>4</v>
      </c>
      <c r="D47" s="3">
        <v>117</v>
      </c>
      <c r="E47" s="3">
        <v>450</v>
      </c>
      <c r="F47" s="4">
        <f t="shared" si="0"/>
        <v>0.26</v>
      </c>
      <c r="G47" s="4">
        <f t="shared" si="3"/>
        <v>0.78</v>
      </c>
      <c r="H47" s="4">
        <f t="shared" si="4"/>
        <v>0.39</v>
      </c>
    </row>
    <row r="48" spans="1:8">
      <c r="A48" s="3" t="s">
        <v>98</v>
      </c>
      <c r="B48" s="3" t="s">
        <v>54</v>
      </c>
      <c r="C48" s="3">
        <v>5</v>
      </c>
      <c r="D48" s="3">
        <v>118</v>
      </c>
      <c r="E48" s="3">
        <v>450</v>
      </c>
      <c r="F48" s="4">
        <f t="shared" si="0"/>
        <v>0.262222222222222</v>
      </c>
      <c r="G48" s="4">
        <f t="shared" si="3"/>
        <v>0.786666666666667</v>
      </c>
      <c r="H48" s="4">
        <f t="shared" si="4"/>
        <v>0.393333333333333</v>
      </c>
    </row>
    <row r="49" spans="1:8">
      <c r="A49" s="3" t="s">
        <v>98</v>
      </c>
      <c r="B49" s="3" t="s">
        <v>55</v>
      </c>
      <c r="C49" s="3">
        <v>1</v>
      </c>
      <c r="D49" s="3">
        <v>95</v>
      </c>
      <c r="E49" s="3">
        <v>450</v>
      </c>
      <c r="F49" s="4">
        <f t="shared" si="0"/>
        <v>0.211111111111111</v>
      </c>
      <c r="G49" s="4">
        <f t="shared" si="3"/>
        <v>0.633333333333333</v>
      </c>
      <c r="H49" s="4">
        <f t="shared" si="4"/>
        <v>0.316666666666667</v>
      </c>
    </row>
    <row r="50" spans="1:8">
      <c r="A50" s="3" t="s">
        <v>98</v>
      </c>
      <c r="B50" s="3" t="s">
        <v>55</v>
      </c>
      <c r="C50" s="3">
        <v>2</v>
      </c>
      <c r="D50" s="3">
        <v>96</v>
      </c>
      <c r="E50" s="3">
        <v>450</v>
      </c>
      <c r="F50" s="4">
        <f t="shared" si="0"/>
        <v>0.213333333333333</v>
      </c>
      <c r="G50" s="4">
        <f t="shared" si="3"/>
        <v>0.64</v>
      </c>
      <c r="H50" s="4">
        <f t="shared" si="4"/>
        <v>0.32</v>
      </c>
    </row>
    <row r="51" spans="1:8">
      <c r="A51" s="3" t="s">
        <v>98</v>
      </c>
      <c r="B51" s="3" t="s">
        <v>55</v>
      </c>
      <c r="C51" s="3">
        <v>3</v>
      </c>
      <c r="D51" s="3">
        <v>96</v>
      </c>
      <c r="E51" s="3">
        <v>450</v>
      </c>
      <c r="F51" s="4">
        <f t="shared" si="0"/>
        <v>0.213333333333333</v>
      </c>
      <c r="G51" s="4">
        <f t="shared" si="3"/>
        <v>0.64</v>
      </c>
      <c r="H51" s="4">
        <f t="shared" si="4"/>
        <v>0.32</v>
      </c>
    </row>
    <row r="52" spans="1:8">
      <c r="A52" s="3" t="s">
        <v>98</v>
      </c>
      <c r="B52" s="3" t="s">
        <v>55</v>
      </c>
      <c r="C52" s="3">
        <v>4</v>
      </c>
      <c r="D52" s="3">
        <v>96</v>
      </c>
      <c r="E52" s="3">
        <v>450</v>
      </c>
      <c r="F52" s="4">
        <f t="shared" si="0"/>
        <v>0.213333333333333</v>
      </c>
      <c r="G52" s="4">
        <f t="shared" si="3"/>
        <v>0.64</v>
      </c>
      <c r="H52" s="4">
        <f t="shared" si="4"/>
        <v>0.32</v>
      </c>
    </row>
    <row r="53" spans="1:8">
      <c r="A53" s="3" t="s">
        <v>98</v>
      </c>
      <c r="B53" s="3" t="s">
        <v>55</v>
      </c>
      <c r="C53" s="3">
        <v>5</v>
      </c>
      <c r="D53" s="3">
        <v>97</v>
      </c>
      <c r="E53" s="3">
        <v>450</v>
      </c>
      <c r="F53" s="4">
        <f t="shared" si="0"/>
        <v>0.215555555555556</v>
      </c>
      <c r="G53" s="4">
        <f t="shared" si="3"/>
        <v>0.646666666666667</v>
      </c>
      <c r="H53" s="4">
        <f t="shared" si="4"/>
        <v>0.323333333333333</v>
      </c>
    </row>
    <row r="54" spans="1:8">
      <c r="A54" s="3" t="s">
        <v>98</v>
      </c>
      <c r="B54" s="3" t="s">
        <v>19</v>
      </c>
      <c r="C54" s="3">
        <v>1</v>
      </c>
      <c r="D54" s="3">
        <v>140</v>
      </c>
      <c r="E54" s="3">
        <v>450</v>
      </c>
      <c r="F54" s="4">
        <f t="shared" si="0"/>
        <v>0.311111111111111</v>
      </c>
      <c r="G54" s="4">
        <f t="shared" si="3"/>
        <v>0.933333333333333</v>
      </c>
      <c r="H54" s="4">
        <f t="shared" si="4"/>
        <v>0.466666666666667</v>
      </c>
    </row>
    <row r="55" spans="1:8">
      <c r="A55" s="3" t="s">
        <v>98</v>
      </c>
      <c r="B55" s="3" t="s">
        <v>19</v>
      </c>
      <c r="C55" s="3">
        <v>2</v>
      </c>
      <c r="D55" s="3">
        <v>141</v>
      </c>
      <c r="E55" s="3">
        <v>450</v>
      </c>
      <c r="F55" s="4">
        <f t="shared" si="0"/>
        <v>0.313333333333333</v>
      </c>
      <c r="G55" s="4">
        <f t="shared" si="3"/>
        <v>0.94</v>
      </c>
      <c r="H55" s="4">
        <f t="shared" si="4"/>
        <v>0.47</v>
      </c>
    </row>
    <row r="56" spans="1:8">
      <c r="A56" s="3" t="s">
        <v>98</v>
      </c>
      <c r="B56" s="3" t="s">
        <v>19</v>
      </c>
      <c r="C56" s="3">
        <v>3</v>
      </c>
      <c r="D56" s="3">
        <v>141</v>
      </c>
      <c r="E56" s="3">
        <v>450</v>
      </c>
      <c r="F56" s="4">
        <f t="shared" si="0"/>
        <v>0.313333333333333</v>
      </c>
      <c r="G56" s="4">
        <f t="shared" si="3"/>
        <v>0.94</v>
      </c>
      <c r="H56" s="4">
        <f t="shared" si="4"/>
        <v>0.47</v>
      </c>
    </row>
    <row r="57" spans="1:8">
      <c r="A57" s="3" t="s">
        <v>98</v>
      </c>
      <c r="B57" s="3" t="s">
        <v>19</v>
      </c>
      <c r="C57" s="3">
        <v>4</v>
      </c>
      <c r="D57" s="3">
        <v>141</v>
      </c>
      <c r="E57" s="3">
        <v>450</v>
      </c>
      <c r="F57" s="4">
        <f t="shared" si="0"/>
        <v>0.313333333333333</v>
      </c>
      <c r="G57" s="4">
        <f t="shared" si="3"/>
        <v>0.94</v>
      </c>
      <c r="H57" s="4">
        <f t="shared" si="4"/>
        <v>0.47</v>
      </c>
    </row>
    <row r="58" spans="1:8">
      <c r="A58" s="3" t="s">
        <v>98</v>
      </c>
      <c r="B58" s="3" t="s">
        <v>19</v>
      </c>
      <c r="C58" s="3">
        <v>5</v>
      </c>
      <c r="D58" s="3">
        <v>142</v>
      </c>
      <c r="E58" s="3">
        <v>450</v>
      </c>
      <c r="F58" s="4">
        <f t="shared" si="0"/>
        <v>0.315555555555556</v>
      </c>
      <c r="G58" s="4">
        <f t="shared" si="3"/>
        <v>0.946666666666667</v>
      </c>
      <c r="H58" s="4">
        <f t="shared" si="4"/>
        <v>0.473333333333333</v>
      </c>
    </row>
    <row r="60" spans="1:8">
      <c r="A60" s="5" t="s">
        <v>99</v>
      </c>
    </row>
    <row r="61" ht="28.3" spans="1:8">
      <c r="A61" s="2" t="s">
        <v>90</v>
      </c>
      <c r="B61" s="2" t="s">
        <v>1</v>
      </c>
      <c r="C61" s="2" t="s">
        <v>100</v>
      </c>
      <c r="D61" s="2" t="s">
        <v>101</v>
      </c>
      <c r="E61" s="2" t="s">
        <v>14</v>
      </c>
      <c r="F61" s="2" t="s">
        <v>15</v>
      </c>
    </row>
    <row r="62" spans="1:8">
      <c r="A62" s="3" t="s">
        <v>97</v>
      </c>
      <c r="B62" s="3" t="s">
        <v>16</v>
      </c>
      <c r="C62" s="4">
        <f>AVERAGE(F4:F8)</f>
        <v>0.0625</v>
      </c>
      <c r="D62" s="4">
        <f>AVERAGE(G4:G8)</f>
        <v>0.160714285714286</v>
      </c>
      <c r="E62" s="4">
        <f>AVERAGE(H4:H8)</f>
        <v>0.09</v>
      </c>
      <c r="F62" s="4">
        <f>STDEV(H4:H8)</f>
        <v>0.00707106781186548</v>
      </c>
    </row>
    <row r="63" spans="1:8">
      <c r="A63" s="3" t="s">
        <v>97</v>
      </c>
      <c r="B63" s="3" t="s">
        <v>17</v>
      </c>
      <c r="C63" s="4">
        <f>AVERAGE(F9:F13)</f>
        <v>0.152871072589382</v>
      </c>
      <c r="D63" s="4">
        <f>AVERAGE(G9:G13)</f>
        <v>0.389285714285714</v>
      </c>
      <c r="E63" s="4">
        <f>AVERAGE(H9:H13)</f>
        <v>0.219532003451601</v>
      </c>
      <c r="F63" s="4">
        <f>STDEV(H9:H13)</f>
        <v>0.00417088240884709</v>
      </c>
    </row>
    <row r="64" spans="1:8">
      <c r="A64" s="3" t="s">
        <v>97</v>
      </c>
      <c r="B64" s="3" t="s">
        <v>18</v>
      </c>
      <c r="C64" s="4">
        <f>AVERAGE(F14:F18)</f>
        <v>0.111111111111111</v>
      </c>
      <c r="D64" s="4">
        <f>AVERAGE(G14:G18)</f>
        <v>0.285714285714286</v>
      </c>
      <c r="E64" s="4">
        <f>AVERAGE(H14:H18)</f>
        <v>0.16</v>
      </c>
      <c r="F64" s="4">
        <f>STDEV(H14:H18)</f>
        <v>0.00707106781186548</v>
      </c>
    </row>
    <row r="65" spans="1:6">
      <c r="A65" s="3" t="s">
        <v>97</v>
      </c>
      <c r="B65" s="3" t="s">
        <v>19</v>
      </c>
      <c r="C65" s="4">
        <f>AVERAGE(F19:F23)</f>
        <v>0.326388888888889</v>
      </c>
      <c r="D65" s="4">
        <f>AVERAGE(G19:G23)</f>
        <v>0.839285714285714</v>
      </c>
      <c r="E65" s="4">
        <f>AVERAGE(H19:H23)</f>
        <v>0.47</v>
      </c>
      <c r="F65" s="4">
        <f>STDEV(H19:H23)</f>
        <v>0.00707106781186546</v>
      </c>
    </row>
    <row r="67" spans="1:6">
      <c r="A67" s="3" t="s">
        <v>98</v>
      </c>
      <c r="B67" s="3" t="s">
        <v>50</v>
      </c>
      <c r="C67" s="4">
        <f>AVERAGE(F24:F28)</f>
        <v>0.233333333333333</v>
      </c>
      <c r="D67" s="4">
        <f>AVERAGE(G24:G28)</f>
        <v>0.7</v>
      </c>
      <c r="E67" s="4">
        <f>AVERAGE(H24:H28)</f>
        <v>0.35</v>
      </c>
      <c r="F67" s="4">
        <f>STDEV(H24:H28)</f>
        <v>0.00235702260395515</v>
      </c>
    </row>
    <row r="68" spans="1:6">
      <c r="A68" s="3" t="s">
        <v>98</v>
      </c>
      <c r="B68" s="3" t="s">
        <v>51</v>
      </c>
      <c r="C68" s="4">
        <f>AVERAGE(F29:F33)</f>
        <v>0.273333333333333</v>
      </c>
      <c r="D68" s="4">
        <f>AVERAGE(G29:G33)</f>
        <v>0.82</v>
      </c>
      <c r="E68" s="4">
        <f>AVERAGE(H29:H33)</f>
        <v>0.41</v>
      </c>
      <c r="F68" s="4">
        <f>STDEV(H29:H33)</f>
        <v>0.00235702260395515</v>
      </c>
    </row>
    <row r="69" spans="1:6">
      <c r="A69" s="3" t="s">
        <v>98</v>
      </c>
      <c r="B69" s="3" t="s">
        <v>52</v>
      </c>
      <c r="C69" s="4">
        <f>AVERAGE(F34:F38)</f>
        <v>0.286666666666667</v>
      </c>
      <c r="D69" s="4">
        <f>AVERAGE(G34:G38)</f>
        <v>0.86</v>
      </c>
      <c r="E69" s="4">
        <f>AVERAGE(H34:H38)</f>
        <v>0.43</v>
      </c>
      <c r="F69" s="4">
        <f>STDEV(H34:H38)</f>
        <v>0.00235702260395515</v>
      </c>
    </row>
    <row r="70" spans="1:6">
      <c r="A70" s="3" t="s">
        <v>98</v>
      </c>
      <c r="B70" s="3" t="s">
        <v>53</v>
      </c>
      <c r="C70" s="4">
        <f>AVERAGE(F39:F43)</f>
        <v>0.246666666666667</v>
      </c>
      <c r="D70" s="4">
        <f>AVERAGE(G39:G43)</f>
        <v>0.74</v>
      </c>
      <c r="E70" s="4">
        <f>AVERAGE(H39:H43)</f>
        <v>0.37</v>
      </c>
      <c r="F70" s="4">
        <f>STDEV(H39:H43)</f>
        <v>0.00235702260395517</v>
      </c>
    </row>
    <row r="71" spans="1:6">
      <c r="A71" s="3" t="s">
        <v>98</v>
      </c>
      <c r="B71" s="3" t="s">
        <v>54</v>
      </c>
      <c r="C71" s="4">
        <f>AVERAGE(F44:F48)</f>
        <v>0.26</v>
      </c>
      <c r="D71" s="4">
        <f>AVERAGE(G44:G48)</f>
        <v>0.78</v>
      </c>
      <c r="E71" s="4">
        <f>AVERAGE(H44:H48)</f>
        <v>0.39</v>
      </c>
      <c r="F71" s="4">
        <f>STDEV(H44:H48)</f>
        <v>0.00235702260395515</v>
      </c>
    </row>
    <row r="72" spans="1:6">
      <c r="A72" s="3" t="s">
        <v>98</v>
      </c>
      <c r="B72" s="3" t="s">
        <v>55</v>
      </c>
      <c r="C72" s="4">
        <f>AVERAGE(F49:F53)</f>
        <v>0.213333333333333</v>
      </c>
      <c r="D72" s="4">
        <f>AVERAGE(G49:G53)</f>
        <v>0.64</v>
      </c>
      <c r="E72" s="4">
        <f>AVERAGE(H49:H53)</f>
        <v>0.32</v>
      </c>
      <c r="F72" s="4">
        <f>STDEV(H49:H53)</f>
        <v>0.00235702260395515</v>
      </c>
    </row>
    <row r="73" spans="1:6">
      <c r="A73" s="3" t="s">
        <v>98</v>
      </c>
      <c r="B73" s="3" t="s">
        <v>19</v>
      </c>
      <c r="C73" s="4">
        <f>AVERAGE(F54:F58)</f>
        <v>0.313333333333333</v>
      </c>
      <c r="D73" s="4">
        <f>AVERAGE(G54:G58)</f>
        <v>0.94</v>
      </c>
      <c r="E73" s="4">
        <f>AVERAGE(H54:H58)</f>
        <v>0.47</v>
      </c>
      <c r="F73" s="4">
        <f>STDEV(H54:H58)</f>
        <v>0.00235702260395515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RQ1_raw</vt:lpstr>
      <vt:lpstr>RQ2_static</vt:lpstr>
      <vt:lpstr>RQ3_raw</vt:lpstr>
      <vt:lpstr>RQ4_static</vt:lpstr>
      <vt:lpstr>F1_raw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CauseFlow experiment data</dc:title>
  <cp:lastModifiedBy>|Ian丶</cp:lastModifiedBy>
  <dcterms:created xsi:type="dcterms:W3CDTF">2026-10-01T09:00:00Z</dcterms:created>
  <dcterms:modified xsi:type="dcterms:W3CDTF">2026-10-23T05:47:09Z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5C9AFF3008804B8FA1D26FA5214BB070_12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